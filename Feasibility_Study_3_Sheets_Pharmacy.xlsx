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ورقة1" sheetId="1" state="visible" r:id="rId3"/>
    <sheet name="ورقة2" sheetId="2" state="visible" r:id="rId4"/>
    <sheet name="ورقة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<sst xmlns="http://schemas.openxmlformats.org/spreadsheetml/2006/main" count="97" uniqueCount="97">
  <si>
    <t xml:space="preserve">Type</t>
  </si>
  <si>
    <t xml:space="preserve">Current Situation / Considerations</t>
  </si>
  <si>
    <t xml:space="preserve">Proposed Solution / Benefits</t>
  </si>
  <si>
    <t xml:space="preserve">Feasibility Result</t>
  </si>
  <si>
    <t xml:space="preserve">Technical</t>
  </si>
  <si>
    <t xml:space="preserve">Manual stock registers or basic spreadsheets; no real-time stock visibility; expiry dates and batch numbers tracked by hand; frequent stock-outs and billing errors.</t>
  </si>
  <si>
    <t xml:space="preserve">Web/desktop POS and inventory system with database (MySQL/PostgreSQL); barcode scanning; batch and expiry tracking; low-stock alerts; cloud backup.</t>
  </si>
  <si>
    <t xml:space="preserve">✅ Technically feasible</t>
  </si>
  <si>
    <t xml:space="preserve">Operational</t>
  </si>
  <si>
    <t xml:space="preserve">Manual billing and stock counts are time-consuming; difficulty tracking expiry dates and batches; resistance to change possible.</t>
  </si>
  <si>
    <t xml:space="preserve">Faster sales and dispensing; automatic stock deduction on every sale; expiry and reorder alerts; reduced workload; better customer service.</t>
  </si>
  <si>
    <t xml:space="preserve">✅ Operationally feasible</t>
  </si>
  <si>
    <t xml:space="preserve">Economic</t>
  </si>
  <si>
    <t xml:space="preserve">Cost of software, hardware (barcode scanners, receipt printer), training, and maintenance.</t>
  </si>
  <si>
    <t xml:space="preserve">Saves time/money; fewer losses from expired and out-of-stock medicines; reduces errors; lower admin costs; long-term efficiency gains.</t>
  </si>
  <si>
    <t xml:space="preserve">✅ Cost-effective</t>
  </si>
  <si>
    <t xml:space="preserve">Legal</t>
  </si>
  <si>
    <t xml:space="preserve">Need compliance with pharmacy/drug regulations (e.g., prescription and controlled-substance records) and patient data protection laws.</t>
  </si>
  <si>
    <t xml:space="preserve">Keep an audit trail of sales and stock movements; role-based access; implement data privacy/security policies; ensure regulatory compliance.</t>
  </si>
  <si>
    <t xml:space="preserve">✅ Legally feasible</t>
  </si>
  <si>
    <t xml:space="preserve">Schedule</t>
  </si>
  <si>
    <t xml:space="preserve">Manual processes delay reporting, reordering, and customer service.</t>
  </si>
  <si>
    <t xml:space="preserve">Estimated timeline 3–6 months (requirements → design → development → testing → deployment).</t>
  </si>
  <si>
    <t xml:space="preserve">✅ Achievable timeline</t>
  </si>
  <si>
    <t xml:space="preserve">Cost–Benefit Analysis – Pharmacy Sales &amp; Stock Management System</t>
  </si>
  <si>
    <t xml:space="preserve">Category</t>
  </si>
  <si>
    <t xml:space="preserve">Description</t>
  </si>
  <si>
    <t xml:space="preserve">Estimated Cost</t>
  </si>
  <si>
    <t xml:space="preserve">Benefits</t>
  </si>
  <si>
    <t xml:space="preserve">Estimated Value (per year)</t>
  </si>
  <si>
    <t xml:space="preserve">Software</t>
  </si>
  <si>
    <t xml:space="preserve">Development (in-house) or purchase of pharmacy POS/inventory software license</t>
  </si>
  <si>
    <t xml:space="preserve">$2,000 – $4,500</t>
  </si>
  <si>
    <t xml:space="preserve">Centralized, automated sales and stock tracking reduces errors, delays and expired stock.</t>
  </si>
  <si>
    <t xml:space="preserve">$3,500 savings in billing, stock and expiry errors</t>
  </si>
  <si>
    <t xml:space="preserve">Hardware</t>
  </si>
  <si>
    <t xml:space="preserve">Server/PC, barcode scanners, receipt printer, cash drawer, backup drives</t>
  </si>
  <si>
    <t xml:space="preserve">$1,200 – $2,800</t>
  </si>
  <si>
    <t xml:space="preserve">Faster checkout and stock receiving; reduced manual work.</t>
  </si>
  <si>
    <t xml:space="preserve">$2,800 saved in staff workload</t>
  </si>
  <si>
    <t xml:space="preserve">Training</t>
  </si>
  <si>
    <t xml:space="preserve">Pharmacist and staff training sessions</t>
  </si>
  <si>
    <t xml:space="preserve">$400 – $1,000</t>
  </si>
  <si>
    <t xml:space="preserve">Smooth transition, efficient use of system.</t>
  </si>
  <si>
    <t xml:space="preserve">Higher productivity (≈ $1,500)</t>
  </si>
  <si>
    <t xml:space="preserve">Maintenance</t>
  </si>
  <si>
    <t xml:space="preserve">Annual software updates, bug fixes, server hosting</t>
  </si>
  <si>
    <t xml:space="preserve">$800 – $1,200</t>
  </si>
  <si>
    <t xml:space="preserve">Ensures system reliability and data security.</t>
  </si>
  <si>
    <t xml:space="preserve">$2,200 saved from downtime</t>
  </si>
  <si>
    <t xml:space="preserve">Administration</t>
  </si>
  <si>
    <t xml:space="preserve">Current manual system (stock registers, spreadsheets, paper invoices, printing)</t>
  </si>
  <si>
    <t xml:space="preserve">$1,500 annually</t>
  </si>
  <si>
    <t xml:space="preserve">Eliminated with the new system → paperless records.</t>
  </si>
  <si>
    <t xml:space="preserve">$1,500 saved</t>
  </si>
  <si>
    <t xml:space="preserve">Customer Experience</t>
  </si>
  <si>
    <t xml:space="preserve">Manual lookups and long queues waste customers’ time</t>
  </si>
  <si>
    <t xml:space="preserve">–</t>
  </si>
  <si>
    <t xml:space="preserve">Faster service, instant availability checks, improved customer satisfaction and loyalty.</t>
  </si>
  <si>
    <t xml:space="preserve">Intangible but high value (≈ $2,000)</t>
  </si>
  <si>
    <t xml:space="preserve">Summary</t>
  </si>
  <si>
    <t xml:space="preserve">Total Estimated Costs (first year): $4,400 – $9,500</t>
  </si>
  <si>
    <t xml:space="preserve">Total Estimated Annual Benefits/Savings: $11,500 – $13,500+</t>
  </si>
  <si>
    <t xml:space="preserve">Payback Period: Within 6 to 9 months</t>
  </si>
  <si>
    <t xml:space="preserve">Conclusion: The Pharmacy Sales and Stock Management System is economically feasible, with clear cost savings and long-term value.</t>
  </si>
  <si>
    <t xml:space="preserve">FINANCIAL BREAKDOWN &amp; RETURN ON INVESTMENT (ROI)</t>
  </si>
  <si>
    <t xml:space="preserve">A. Initial Investment Breakdown (First Year)</t>
  </si>
  <si>
    <t xml:space="preserve">Cost Element</t>
  </si>
  <si>
    <t xml:space="preserve">Min Cost ($)</t>
  </si>
  <si>
    <t xml:space="preserve">Max Cost ($)</t>
  </si>
  <si>
    <t xml:space="preserve">Avg Cost ($)</t>
  </si>
  <si>
    <t xml:space="preserve">% of Total Budget</t>
  </si>
  <si>
    <t xml:space="preserve">Software Development &amp; Licenses</t>
  </si>
  <si>
    <t xml:space="preserve">Hardware &amp; Equipment (POS, Scanners)</t>
  </si>
  <si>
    <t xml:space="preserve">Staff Training &amp; Onboarding</t>
  </si>
  <si>
    <t xml:space="preserve">Annual System Maintenance &amp; Support</t>
  </si>
  <si>
    <t xml:space="preserve">Data Migration &amp; Digital Archiving</t>
  </si>
  <si>
    <t xml:space="preserve">Total Investment Cost</t>
  </si>
  <si>
    <t xml:space="preserve">B. Annual Recurring Value &amp; Cost Savings</t>
  </si>
  <si>
    <t xml:space="preserve">Benefit Area</t>
  </si>
  <si>
    <t xml:space="preserve">Min Savings ($)</t>
  </si>
  <si>
    <t xml:space="preserve">Max Savings ($)</t>
  </si>
  <si>
    <t xml:space="preserve">Avg Savings ($)</t>
  </si>
  <si>
    <t xml:space="preserve">Contribution %</t>
  </si>
  <si>
    <t xml:space="preserve">Elimination of Expiry &amp; Billing Errors</t>
  </si>
  <si>
    <t xml:space="preserve">Staff Workload &amp; Productivity Gains</t>
  </si>
  <si>
    <t xml:space="preserve">Reduction in System Downtime</t>
  </si>
  <si>
    <t xml:space="preserve">Paperless Admin &amp; Operational Efficiency</t>
  </si>
  <si>
    <t xml:space="preserve">Customer Retention &amp; Service Speed</t>
  </si>
  <si>
    <t xml:space="preserve">Total Annual Savings</t>
  </si>
  <si>
    <t xml:space="preserve">C. Key Performance Ratios &amp; Metrics</t>
  </si>
  <si>
    <t xml:space="preserve">Net Financial Benefit (Year 1)</t>
  </si>
  <si>
    <t xml:space="preserve">Average Benefits - Average Costs</t>
  </si>
  <si>
    <t xml:space="preserve">Return on Investment (ROI)</t>
  </si>
  <si>
    <t xml:space="preserve">Net Financial Benefit / Average Costs</t>
  </si>
  <si>
    <t xml:space="preserve">Payback Period</t>
  </si>
  <si>
    <t xml:space="preserve">Total Average Costs / Total Average Benefits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</si>
</sst>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&quot; Years&quot;"/>
  </numFmts>
  <fonts count="5">
    <font>
      <sz val="11"/>
      <color theme="1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D12"/>
  <sheetViews>
    <sheetView showFormulas="false" showGridLines="true" showRowColHeaders="true" showZeros="true" rightToLeft="true" tabSelected="false" showOutlineSymbols="true" defaultGridColor="true" view="normal" topLeftCell="B1" colorId="64" zoomScale="100" zoomScaleNormal="100" zoomScalePageLayoutView="100" workbookViewId="0">
      <selection pane="topLeft" activeCell="C12" activeCellId="0" sqref="C12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65.62"/>
    <col collapsed="false" customWidth="true" hidden="false" outlineLevel="0" max="3" min="3" style="0" width="68.12"/>
    <col collapsed="false" customWidth="true" hidden="false" outlineLevel="0" max="4" min="4" style="0" width="20.38"/>
  </cols>
  <sheetData>
    <row r="7" customFormat="false" ht="14.25" hidden="false" customHeight="false" outlineLevel="0" collapsed="false">
      <c r="A7" s="1" t="s">
        <v>0</v>
      </c>
      <c r="B7" s="1" t="s">
        <v>1</v>
      </c>
      <c r="C7" s="1" t="s">
        <v>2</v>
      </c>
      <c r="D7" s="1" t="s">
        <v>3</v>
      </c>
    </row>
    <row r="8" customFormat="false" ht="14.25" hidden="false" customHeight="false" outlineLevel="0" collapsed="false">
      <c r="A8" s="1" t="s">
        <v>4</v>
      </c>
      <c r="B8" s="1" t="s">
        <v>5</v>
      </c>
      <c r="C8" s="1" t="s">
        <v>6</v>
      </c>
      <c r="D8" s="1" t="s">
        <v>7</v>
      </c>
    </row>
    <row r="9" customFormat="false" ht="14.25" hidden="false" customHeight="false" outlineLevel="0" collapsed="false">
      <c r="A9" s="1" t="s">
        <v>8</v>
      </c>
      <c r="B9" s="1" t="s">
        <v>9</v>
      </c>
      <c r="C9" s="1" t="s">
        <v>10</v>
      </c>
      <c r="D9" s="1" t="s">
        <v>11</v>
      </c>
    </row>
    <row r="10" customFormat="false" ht="14.25" hidden="false" customHeight="false" outlineLevel="0" collapsed="false">
      <c r="A10" s="1" t="s">
        <v>12</v>
      </c>
      <c r="B10" s="1" t="s">
        <v>13</v>
      </c>
      <c r="C10" s="1" t="s">
        <v>14</v>
      </c>
      <c r="D10" s="1" t="s">
        <v>15</v>
      </c>
    </row>
    <row r="11" customFormat="false" ht="14.25" hidden="false" customHeight="false" outlineLevel="0" collapsed="false">
      <c r="A11" s="1" t="s">
        <v>16</v>
      </c>
      <c r="B11" s="1" t="s">
        <v>17</v>
      </c>
      <c r="C11" s="1" t="s">
        <v>18</v>
      </c>
      <c r="D11" s="1" t="s">
        <v>19</v>
      </c>
    </row>
    <row r="12" customFormat="false" ht="14.25" hidden="false" customHeight="false" outlineLevel="0" collapsed="false">
      <c r="A12" s="1" t="s">
        <v>20</v>
      </c>
      <c r="B12" s="1" t="s">
        <v>21</v>
      </c>
      <c r="C12" s="1" t="s">
        <v>22</v>
      </c>
      <c r="D12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H2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7.12"/>
    <col collapsed="false" customWidth="true" hidden="false" outlineLevel="0" max="2" min="2" style="0" width="60.25"/>
    <col collapsed="false" customWidth="true" hidden="false" outlineLevel="0" max="3" min="3" style="0" width="16.62"/>
    <col collapsed="false" customWidth="true" hidden="false" outlineLevel="0" max="4" min="4" style="0" width="33.76"/>
    <col collapsed="false" customWidth="true" hidden="false" outlineLevel="0" max="5" min="5" style="0" width="14.5"/>
  </cols>
  <sheetData>
    <row r="5" customFormat="false" ht="14.25" hidden="false" customHeight="false" outlineLevel="0" collapsed="false">
      <c r="H5" s="1" t="s">
        <v>24</v>
      </c>
    </row>
    <row r="7" customFormat="false" ht="14.2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customFormat="false" ht="14.25" hidden="false" customHeight="false" outlineLevel="0" collapsed="false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 customFormat="false" ht="14.25" hidden="false" customHeight="false" outlineLevel="0" collapsed="false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customFormat="false" ht="14.25" hidden="false" customHeight="false" outlineLevel="0" collapsed="false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customFormat="false" ht="14.25" hidden="false" customHeight="false" outlineLevel="0" collapsed="false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</row>
    <row r="13" customFormat="false" ht="14.25" hidden="false" customHeight="false" outlineLevel="0" collapsed="false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</row>
    <row r="18" customFormat="false" ht="14.25" hidden="false" customHeight="false" outlineLevel="0" collapsed="false">
      <c r="H18" s="1" t="s">
        <v>60</v>
      </c>
    </row>
    <row r="20" customFormat="false" ht="14.25" hidden="false" customHeight="false" outlineLevel="0" collapsed="false">
      <c r="H20" s="1" t="s">
        <v>61</v>
      </c>
    </row>
    <row r="21" customFormat="false" ht="14.25" hidden="false" customHeight="false" outlineLevel="0" collapsed="false">
      <c r="H21" s="1" t="s">
        <v>62</v>
      </c>
    </row>
    <row r="22" customFormat="false" ht="14.25" hidden="false" customHeight="false" outlineLevel="0" collapsed="false">
      <c r="H22" s="1" t="s">
        <v>63</v>
      </c>
    </row>
    <row r="24" customFormat="false" ht="14.25" hidden="false" customHeight="false" outlineLevel="0" collapsed="false">
      <c r="H24" s="1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  <col collapsed="false" customWidth="true" hidden="false" outlineLevel="0" max="5" min="3" style="0" width="20"/>
  </cols>
  <sheetData>
    <row r="1" customFormat="false" ht="14.25" hidden="false" customHeight="false" outlineLevel="0" collapsed="false">
      <c r="A1" s="1" t="s">
        <v>65</v>
      </c>
    </row>
    <row r="3" customFormat="false" ht="14.25" hidden="false" customHeight="false" outlineLevel="0" collapsed="false">
      <c r="A3" s="1" t="s">
        <v>66</v>
      </c>
    </row>
    <row r="4" customFormat="false" ht="14.25" hidden="false" customHeight="false" outlineLevel="0" collapsed="false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</row>
    <row r="5" customFormat="false" ht="14.25" hidden="false" customHeight="false" outlineLevel="0" collapsed="false">
      <c r="A5" s="1" t="s">
        <v>72</v>
      </c>
      <c r="B5" s="2" t="n">
        <v>2000</v>
      </c>
      <c r="C5" s="2" t="n">
        <v>4500</v>
      </c>
      <c r="D5" s="2" t="n">
        <f aca="false">AVERAGE(B5:C5)</f>
        <v>3250</v>
      </c>
      <c r="E5" s="3" t="n">
        <f aca="false">D5/$D$10</f>
        <v>0.419354838709677</v>
      </c>
    </row>
    <row r="6" customFormat="false" ht="14.25" hidden="false" customHeight="false" outlineLevel="0" collapsed="false">
      <c r="A6" s="1" t="s">
        <v>73</v>
      </c>
      <c r="B6" s="2" t="n">
        <v>1200</v>
      </c>
      <c r="C6" s="2" t="n">
        <v>2800</v>
      </c>
      <c r="D6" s="2" t="n">
        <f aca="false">AVERAGE(B6:C6)</f>
        <v>2000</v>
      </c>
      <c r="E6" s="3" t="n">
        <f aca="false">D6/$D$10</f>
        <v>0.258064516129032</v>
      </c>
    </row>
    <row r="7" customFormat="false" ht="14.25" hidden="false" customHeight="false" outlineLevel="0" collapsed="false">
      <c r="A7" s="1" t="s">
        <v>74</v>
      </c>
      <c r="B7" s="2" t="n">
        <v>400</v>
      </c>
      <c r="C7" s="2" t="n">
        <v>1000</v>
      </c>
      <c r="D7" s="2" t="n">
        <f aca="false">AVERAGE(B7:C7)</f>
        <v>700</v>
      </c>
      <c r="E7" s="3" t="n">
        <f aca="false">D7/$D$10</f>
        <v>0.0903225806451613</v>
      </c>
    </row>
    <row r="8" customFormat="false" ht="14.25" hidden="false" customHeight="false" outlineLevel="0" collapsed="false">
      <c r="A8" s="1" t="s">
        <v>75</v>
      </c>
      <c r="B8" s="2" t="n">
        <v>800</v>
      </c>
      <c r="C8" s="2" t="n">
        <v>1200</v>
      </c>
      <c r="D8" s="2" t="n">
        <f aca="false">AVERAGE(B8:C8)</f>
        <v>1000</v>
      </c>
      <c r="E8" s="3" t="n">
        <f aca="false">D8/$D$10</f>
        <v>0.129032258064516</v>
      </c>
    </row>
    <row r="9" customFormat="false" ht="14.25" hidden="false" customHeight="false" outlineLevel="0" collapsed="false">
      <c r="A9" s="1" t="s">
        <v>76</v>
      </c>
      <c r="B9" s="2" t="n">
        <v>600</v>
      </c>
      <c r="C9" s="2" t="n">
        <v>1000</v>
      </c>
      <c r="D9" s="2" t="n">
        <f aca="false">AVERAGE(B9:C9)</f>
        <v>800</v>
      </c>
      <c r="E9" s="3" t="n">
        <f aca="false">D9/$D$10</f>
        <v>0.103225806451613</v>
      </c>
    </row>
    <row r="10" customFormat="false" ht="14.25" hidden="false" customHeight="false" outlineLevel="0" collapsed="false">
      <c r="A10" s="1" t="s">
        <v>77</v>
      </c>
      <c r="B10" s="2" t="n">
        <f aca="false">SUM(B5:B9)</f>
        <v>5000</v>
      </c>
      <c r="C10" s="2" t="n">
        <f aca="false">SUM(C5:C9)</f>
        <v>10500</v>
      </c>
      <c r="D10" s="2" t="n">
        <f aca="false">SUM(D5:D9)</f>
        <v>7750</v>
      </c>
      <c r="E10" s="3" t="n">
        <f aca="false">SUM(E5:E9)</f>
        <v>1</v>
      </c>
    </row>
    <row r="12" customFormat="false" ht="14.25" hidden="false" customHeight="false" outlineLevel="0" collapsed="false">
      <c r="A12" s="1" t="s">
        <v>78</v>
      </c>
    </row>
    <row r="13" customFormat="false" ht="14.25" hidden="false" customHeight="false" outlineLevel="0" collapsed="false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</row>
    <row r="14" customFormat="false" ht="14.25" hidden="false" customHeight="false" outlineLevel="0" collapsed="false">
      <c r="A14" s="1" t="s">
        <v>84</v>
      </c>
      <c r="B14" s="2" t="n">
        <v>3500</v>
      </c>
      <c r="C14" s="2" t="n">
        <v>5000</v>
      </c>
      <c r="D14" s="2" t="n">
        <f aca="false">AVERAGE(B14:C14)</f>
        <v>4250</v>
      </c>
      <c r="E14" s="3" t="n">
        <f aca="false">D14/$D$19</f>
        <v>0.307971014492754</v>
      </c>
    </row>
    <row r="15" customFormat="false" ht="14.25" hidden="false" customHeight="false" outlineLevel="0" collapsed="false">
      <c r="A15" s="1" t="s">
        <v>85</v>
      </c>
      <c r="B15" s="2" t="n">
        <v>2800</v>
      </c>
      <c r="C15" s="2" t="n">
        <v>4000</v>
      </c>
      <c r="D15" s="2" t="n">
        <f aca="false">AVERAGE(B15:C15)</f>
        <v>3400</v>
      </c>
      <c r="E15" s="3" t="n">
        <f aca="false">D15/$D$19</f>
        <v>0.246376811594203</v>
      </c>
    </row>
    <row r="16" customFormat="false" ht="14.25" hidden="false" customHeight="false" outlineLevel="0" collapsed="false">
      <c r="A16" s="1" t="s">
        <v>86</v>
      </c>
      <c r="B16" s="2" t="n">
        <v>2200</v>
      </c>
      <c r="C16" s="2" t="n">
        <v>2800</v>
      </c>
      <c r="D16" s="2" t="n">
        <f aca="false">AVERAGE(B16:C16)</f>
        <v>2500</v>
      </c>
      <c r="E16" s="3" t="n">
        <f aca="false">D16/$D$19</f>
        <v>0.181159420289855</v>
      </c>
    </row>
    <row r="17" customFormat="false" ht="14.25" hidden="false" customHeight="false" outlineLevel="0" collapsed="false">
      <c r="A17" s="1" t="s">
        <v>87</v>
      </c>
      <c r="B17" s="2" t="n">
        <v>1500</v>
      </c>
      <c r="C17" s="2" t="n">
        <v>1800</v>
      </c>
      <c r="D17" s="2" t="n">
        <f aca="false">AVERAGE(B17:C17)</f>
        <v>1650</v>
      </c>
      <c r="E17" s="3" t="n">
        <f aca="false">D17/$D$19</f>
        <v>0.119565217391304</v>
      </c>
    </row>
    <row r="18" customFormat="false" ht="14.25" hidden="false" customHeight="false" outlineLevel="0" collapsed="false">
      <c r="A18" s="1" t="s">
        <v>88</v>
      </c>
      <c r="B18" s="2" t="n">
        <v>1500</v>
      </c>
      <c r="C18" s="2" t="n">
        <v>2500</v>
      </c>
      <c r="D18" s="2" t="n">
        <f aca="false">AVERAGE(B18:C18)</f>
        <v>2000</v>
      </c>
      <c r="E18" s="3" t="n">
        <f aca="false">D18/$D$19</f>
        <v>0.144927536231884</v>
      </c>
    </row>
    <row r="19" customFormat="false" ht="14.25" hidden="false" customHeight="false" outlineLevel="0" collapsed="false">
      <c r="A19" s="1" t="s">
        <v>89</v>
      </c>
      <c r="B19" s="2" t="n">
        <f aca="false">SUM(B14:B18)</f>
        <v>11500</v>
      </c>
      <c r="C19" s="2" t="n">
        <f aca="false">SUM(C14:C18)</f>
        <v>16100</v>
      </c>
      <c r="D19" s="2" t="n">
        <f aca="false">SUM(D14:D18)</f>
        <v>13800</v>
      </c>
      <c r="E19" s="3" t="n">
        <f aca="false">SUM(E14:E18)</f>
        <v>1</v>
      </c>
    </row>
    <row r="21" customFormat="false" ht="14.25" hidden="false" customHeight="false" outlineLevel="0" collapsed="false">
      <c r="A21" s="1" t="s">
        <v>90</v>
      </c>
    </row>
    <row r="22" customFormat="false" ht="14.25" hidden="false" customHeight="false" outlineLevel="0" collapsed="false">
      <c r="A22" s="1" t="s">
        <v>91</v>
      </c>
      <c r="B22" s="1" t="s">
        <v>92</v>
      </c>
      <c r="C22" s="2" t="n">
        <f aca="false">D19-D10</f>
        <v>6050</v>
      </c>
    </row>
    <row r="23" customFormat="false" ht="14.25" hidden="false" customHeight="false" outlineLevel="0" collapsed="false">
      <c r="A23" s="1" t="s">
        <v>93</v>
      </c>
      <c r="B23" s="1" t="s">
        <v>94</v>
      </c>
      <c r="C23" s="3" t="n">
        <f aca="false">(D19-D10)/D10</f>
        <v>0.780645161290323</v>
      </c>
    </row>
    <row r="24" customFormat="false" ht="14.25" hidden="false" customHeight="false" outlineLevel="0" collapsed="false">
      <c r="A24" s="1" t="s">
        <v>95</v>
      </c>
      <c r="B24" s="1" t="s">
        <v>96</v>
      </c>
      <c r="C24" s="4" t="n">
        <f aca="false">D10/D19</f>
        <v>0.561594202898551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2025-10-04T05:40:21Z</dcterms:created>
  <dc:creator>NILE NEW</dc:creator>
  <dc:description/>
  <dc:language>en-US</dc:language>
  <cp:lastModifiedBy>NILE NEW</cp:lastModifiedBy>
  <dcterms:modified xsi:type="dcterms:W3CDTF">2026-10-03T17:14:46Z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